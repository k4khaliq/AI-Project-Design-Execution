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khaliqrehman-my.sharepoint.com/personal/khaliq_khaliqurrehman_com/Documents/DBA/Course 04 - AI Project Design &amp; Execution/Final Presentation/"/>
    </mc:Choice>
  </mc:AlternateContent>
  <xr:revisionPtr revIDLastSave="24" documentId="8_{A0418FCC-D4D4-40E9-A6AC-A97A6AA67F1D}" xr6:coauthVersionLast="47" xr6:coauthVersionMax="47" xr10:uidLastSave="{E8496D60-7359-439C-A6F2-15E3439BCDC2}"/>
  <bookViews>
    <workbookView xWindow="-28920" yWindow="-120" windowWidth="29040" windowHeight="15720" activeTab="4" xr2:uid="{00000000-000D-0000-FFFF-FFFF00000000}"/>
  </bookViews>
  <sheets>
    <sheet name="Resource Time" sheetId="6" r:id="rId1"/>
    <sheet name="PS" sheetId="2" r:id="rId2"/>
    <sheet name="Azure BoQ" sheetId="3" r:id="rId3"/>
    <sheet name="Operations" sheetId="4" r:id="rId4"/>
    <sheet name="ROI Analysis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J6" i="1"/>
  <c r="J5" i="1"/>
  <c r="G8" i="1"/>
  <c r="H8" i="1"/>
  <c r="I8" i="1"/>
  <c r="J8" i="1"/>
  <c r="K8" i="1" s="1"/>
  <c r="L8" i="1" s="1"/>
  <c r="F8" i="1"/>
  <c r="B6" i="1"/>
  <c r="E33" i="3"/>
  <c r="E32" i="3"/>
  <c r="E31" i="3"/>
  <c r="E27" i="3"/>
  <c r="E23" i="3"/>
  <c r="E19" i="3"/>
  <c r="E13" i="3"/>
  <c r="E8" i="3"/>
  <c r="O13" i="6"/>
  <c r="M13" i="6"/>
  <c r="K13" i="6"/>
  <c r="I13" i="6"/>
  <c r="G13" i="6"/>
  <c r="E13" i="6"/>
  <c r="P13" i="6" s="1"/>
  <c r="O12" i="6"/>
  <c r="M12" i="6"/>
  <c r="K12" i="6"/>
  <c r="I12" i="6"/>
  <c r="G12" i="6"/>
  <c r="E12" i="6"/>
  <c r="P12" i="6" s="1"/>
  <c r="O11" i="6"/>
  <c r="M11" i="6"/>
  <c r="K11" i="6"/>
  <c r="I11" i="6"/>
  <c r="G11" i="6"/>
  <c r="E11" i="6"/>
  <c r="P11" i="6" s="1"/>
  <c r="O10" i="6"/>
  <c r="M10" i="6"/>
  <c r="K10" i="6"/>
  <c r="I10" i="6"/>
  <c r="G10" i="6"/>
  <c r="E10" i="6"/>
  <c r="O9" i="6"/>
  <c r="M9" i="6"/>
  <c r="K9" i="6"/>
  <c r="I9" i="6"/>
  <c r="G9" i="6"/>
  <c r="E9" i="6"/>
  <c r="P9" i="6" s="1"/>
  <c r="O8" i="6"/>
  <c r="M8" i="6"/>
  <c r="K8" i="6"/>
  <c r="I8" i="6"/>
  <c r="G8" i="6"/>
  <c r="E8" i="6"/>
  <c r="O7" i="6"/>
  <c r="M7" i="6"/>
  <c r="K7" i="6"/>
  <c r="I7" i="6"/>
  <c r="G7" i="6"/>
  <c r="E7" i="6"/>
  <c r="P7" i="6" s="1"/>
  <c r="O6" i="6"/>
  <c r="M6" i="6"/>
  <c r="K6" i="6"/>
  <c r="I6" i="6"/>
  <c r="G6" i="6"/>
  <c r="E6" i="6"/>
  <c r="O5" i="6"/>
  <c r="M5" i="6"/>
  <c r="K5" i="6"/>
  <c r="I5" i="6"/>
  <c r="G5" i="6"/>
  <c r="E5" i="6"/>
  <c r="P5" i="6" s="1"/>
  <c r="O4" i="6"/>
  <c r="M4" i="6"/>
  <c r="K4" i="6"/>
  <c r="I4" i="6"/>
  <c r="G4" i="6"/>
  <c r="E4" i="6"/>
  <c r="P4" i="6" s="1"/>
  <c r="O3" i="6"/>
  <c r="M3" i="6"/>
  <c r="K3" i="6"/>
  <c r="I3" i="6"/>
  <c r="G3" i="6"/>
  <c r="E3" i="6"/>
  <c r="O2" i="6"/>
  <c r="M2" i="6"/>
  <c r="K2" i="6"/>
  <c r="I2" i="6"/>
  <c r="G2" i="6"/>
  <c r="E2" i="6"/>
  <c r="P10" i="6" l="1"/>
  <c r="P6" i="6"/>
  <c r="P2" i="6"/>
  <c r="P8" i="6"/>
  <c r="P3" i="6"/>
  <c r="B20" i="1" l="1"/>
  <c r="H7" i="1"/>
  <c r="H6" i="1"/>
  <c r="B7" i="1"/>
  <c r="B10" i="4"/>
  <c r="G7" i="1"/>
  <c r="I7" i="1" s="1"/>
  <c r="K7" i="1" s="1"/>
  <c r="L7" i="1" s="1"/>
  <c r="D14" i="2"/>
  <c r="D13" i="2"/>
  <c r="D12" i="2"/>
  <c r="D11" i="2"/>
  <c r="D10" i="2"/>
  <c r="D9" i="2"/>
  <c r="D8" i="2"/>
  <c r="D7" i="2"/>
  <c r="D6" i="2"/>
  <c r="D5" i="2"/>
  <c r="D4" i="2"/>
  <c r="D3" i="2"/>
  <c r="B21" i="1"/>
  <c r="B22" i="1" s="1"/>
  <c r="D15" i="2" l="1"/>
  <c r="B5" i="1" s="1"/>
  <c r="F5" i="1" s="1"/>
  <c r="G5" i="1"/>
  <c r="G6" i="1"/>
  <c r="I6" i="1" s="1"/>
  <c r="K6" i="1" s="1"/>
  <c r="L6" i="1" s="1"/>
  <c r="B8" i="1" l="1"/>
  <c r="C28" i="1" s="1"/>
  <c r="I5" i="1"/>
  <c r="K5" i="1" s="1"/>
  <c r="L5" i="1" s="1"/>
  <c r="C26" i="1" l="1"/>
  <c r="C27" i="1" s="1"/>
</calcChain>
</file>

<file path=xl/sharedStrings.xml><?xml version="1.0" encoding="utf-8"?>
<sst xmlns="http://schemas.openxmlformats.org/spreadsheetml/2006/main" count="191" uniqueCount="169">
  <si>
    <t>ROI ANALYSIS: EMPLOYEE WELL-BEING &amp; BURNOUT EARLY-WARNING SYSTEM</t>
  </si>
  <si>
    <t>Role</t>
  </si>
  <si>
    <t>Hourly Rate</t>
  </si>
  <si>
    <t>Total Hours</t>
  </si>
  <si>
    <t>Total Cost</t>
  </si>
  <si>
    <t>Project Manager</t>
  </si>
  <si>
    <t>Solution Architect</t>
  </si>
  <si>
    <t>Business Analyst</t>
  </si>
  <si>
    <t>Azure Cloud Engineer</t>
  </si>
  <si>
    <t>Data Governance / Privacy SME</t>
  </si>
  <si>
    <t>Data Engineers (2x)</t>
  </si>
  <si>
    <t>ML Engineers (2x)</t>
  </si>
  <si>
    <t>LLM/RAG Specialist</t>
  </si>
  <si>
    <t>Full-stack Developers (2x)</t>
  </si>
  <si>
    <t>DevOps Engineer</t>
  </si>
  <si>
    <t>QA/HR Domain Expert</t>
  </si>
  <si>
    <t>Support Engineer</t>
  </si>
  <si>
    <t>TOTAL PROFESSIONAL SERVICES</t>
  </si>
  <si>
    <t>Annual Cost</t>
  </si>
  <si>
    <t>STORAGE SERVICES</t>
  </si>
  <si>
    <t>AI &amp; ML SERVICES</t>
  </si>
  <si>
    <t>Standard Tier (S1)</t>
  </si>
  <si>
    <t>NETWORKING &amp; INTEGRATION</t>
  </si>
  <si>
    <t>MONITORING &amp; SUPPORT</t>
  </si>
  <si>
    <t>Standard Monitoring</t>
  </si>
  <si>
    <t>Standard Support</t>
  </si>
  <si>
    <t>SECURITY &amp; COMPLIANCE</t>
  </si>
  <si>
    <t>Cost Component</t>
  </si>
  <si>
    <t>Amount</t>
  </si>
  <si>
    <t>Notes</t>
  </si>
  <si>
    <t>Professional Services</t>
  </si>
  <si>
    <t>Cloud Services (Annual)</t>
  </si>
  <si>
    <t>Azure infrastructure</t>
  </si>
  <si>
    <t>Infrastructure, Support, Monitoring</t>
  </si>
  <si>
    <t>Annual operations &amp; maintenance</t>
  </si>
  <si>
    <t>TOTAL YEAR 1 INVESTMENT</t>
  </si>
  <si>
    <t>Parameter</t>
  </si>
  <si>
    <t>Value</t>
  </si>
  <si>
    <t>Basis/Notes</t>
  </si>
  <si>
    <t>Organization Size</t>
  </si>
  <si>
    <t>Target organization</t>
  </si>
  <si>
    <t>Average Salary</t>
  </si>
  <si>
    <t>From presentation</t>
  </si>
  <si>
    <t>Turnover Rate</t>
  </si>
  <si>
    <t>15% - Industry benchmark</t>
  </si>
  <si>
    <t>Replacement Cost</t>
  </si>
  <si>
    <t>58% of salary</t>
  </si>
  <si>
    <t>Turnover Reduction</t>
  </si>
  <si>
    <t>30% - System benefit</t>
  </si>
  <si>
    <t>System Attribution</t>
  </si>
  <si>
    <t>60% of benefit</t>
  </si>
  <si>
    <t>Effectiveness (Year 1)</t>
  </si>
  <si>
    <t>50% - Ramp-up factor</t>
  </si>
  <si>
    <t>BENEFIT CALCULATION</t>
  </si>
  <si>
    <t>Base Benefit</t>
  </si>
  <si>
    <t>Org × Cost × Reduction × Attribution</t>
  </si>
  <si>
    <t>Conservative (50%)</t>
  </si>
  <si>
    <t>Base × Effectiveness</t>
  </si>
  <si>
    <t>TOTAL ANNUAL BENEFIT</t>
  </si>
  <si>
    <t>Metric</t>
  </si>
  <si>
    <t>Calculation</t>
  </si>
  <si>
    <t>Explanation</t>
  </si>
  <si>
    <t>Net Year 1 Benefit</t>
  </si>
  <si>
    <t>(Benefit - Cost)</t>
  </si>
  <si>
    <t>Profit after all expenses</t>
  </si>
  <si>
    <t>Year 1 ROI (%)</t>
  </si>
  <si>
    <t>(Net / Cost) × 100</t>
  </si>
  <si>
    <t>% return on investment</t>
  </si>
  <si>
    <t>Payback (Months)</t>
  </si>
  <si>
    <t>(Cost / Benefit) × 12</t>
  </si>
  <si>
    <t>Months to break even</t>
  </si>
  <si>
    <t>AZURE BILL OF QUANTITIES (BoQ)</t>
  </si>
  <si>
    <t>TOTAL YEAR 1 INVESTMENT COSTS</t>
  </si>
  <si>
    <t>ANNUAL BENEFITS (CONSERVATIVE SCENARIO)</t>
  </si>
  <si>
    <t>12-month development team</t>
  </si>
  <si>
    <t>YEAR 1 ROI METRICS</t>
  </si>
  <si>
    <t>Year</t>
  </si>
  <si>
    <t>Annual Benefits</t>
  </si>
  <si>
    <t>Net Benefit</t>
  </si>
  <si>
    <t>ROI (%)</t>
  </si>
  <si>
    <t>Year 1</t>
  </si>
  <si>
    <t>Year 2</t>
  </si>
  <si>
    <t>Year 3</t>
  </si>
  <si>
    <t>OPERATIONS TEAM SALARY BREAKDOWN (Year 1)</t>
  </si>
  <si>
    <t>Position</t>
  </si>
  <si>
    <t>Annual Salary</t>
  </si>
  <si>
    <t>DevOps Engineer (1 FTE)</t>
  </si>
  <si>
    <t>ML Operations Specialist (1 FTE)</t>
  </si>
  <si>
    <t>Cloud Infrastructure Manager (1 FTE)</t>
  </si>
  <si>
    <t>Data Pipeline Engineer (1 FTE)</t>
  </si>
  <si>
    <t>System Administrator (0.5 FTE)</t>
  </si>
  <si>
    <t>Monitoring &amp; Support (0.5 FTE)</t>
  </si>
  <si>
    <t>Contingency/Benefits (10%)</t>
  </si>
  <si>
    <t>TOTAL OPERATIONS SALARIES</t>
  </si>
  <si>
    <t>3-YEAR ROI PROJECTION (WITH 5% ANNUAL SALARY INCREASES)</t>
  </si>
  <si>
    <t>Cloud Services</t>
  </si>
  <si>
    <t>Operations Salaries</t>
  </si>
  <si>
    <t>CUMULATIVE (3 Years)</t>
  </si>
  <si>
    <t>PROFESSIONAL SERVICES COST CALCULATION</t>
  </si>
  <si>
    <t>SERVICE NAME</t>
  </si>
  <si>
    <t>CONFIGURATION / SKU</t>
  </si>
  <si>
    <t>QUANTITY</t>
  </si>
  <si>
    <t>UNIT</t>
  </si>
  <si>
    <t xml:space="preserve"> TOTAL </t>
  </si>
  <si>
    <t>COMPUTE SERVICE</t>
  </si>
  <si>
    <t>Azure Machine Learning Compute</t>
  </si>
  <si>
    <t>Standard_D4s_v3 (4 vCPU, 16GB RAM)</t>
  </si>
  <si>
    <t>Instance</t>
  </si>
  <si>
    <t>Azure Kubernetes Service (AKS)</t>
  </si>
  <si>
    <t>3 × Standard_D2s_v3 Nodes</t>
  </si>
  <si>
    <t>Nodes</t>
  </si>
  <si>
    <t>App Service Plan</t>
  </si>
  <si>
    <t>Premium P1V2 (1 Core, 3GB)</t>
  </si>
  <si>
    <t>Plan</t>
  </si>
  <si>
    <t>Azure Function</t>
  </si>
  <si>
    <t xml:space="preserve">Premium tier, Pay as you go </t>
  </si>
  <si>
    <t>Compute Services Subtotal</t>
  </si>
  <si>
    <t>Data Lake Storage Gen2</t>
  </si>
  <si>
    <t>Hot Tier (Pay-as-you-go)</t>
  </si>
  <si>
    <t>GB</t>
  </si>
  <si>
    <t>Azure Blob Storage</t>
  </si>
  <si>
    <t>Standard Hot Tier</t>
  </si>
  <si>
    <t>Azure SQL Database</t>
  </si>
  <si>
    <t>Standard S2 (50 DTUs)</t>
  </si>
  <si>
    <t>Database</t>
  </si>
  <si>
    <t>Storage Services Subtotal</t>
  </si>
  <si>
    <t>Tokens: Input 50M / Output 25M</t>
  </si>
  <si>
    <t>Monthly</t>
  </si>
  <si>
    <t>Azure Cognitive Services</t>
  </si>
  <si>
    <t>Text Analytics, Language Understanding</t>
  </si>
  <si>
    <t>Service</t>
  </si>
  <si>
    <t>Azure Analysis Service</t>
  </si>
  <si>
    <t>Standard S1 (Hours), 1 Instance(s), 730 Hours</t>
  </si>
  <si>
    <t>AI &amp; ML Services Subtotal</t>
  </si>
  <si>
    <t>API Management</t>
  </si>
  <si>
    <t>Standard Tier (1 Unit)</t>
  </si>
  <si>
    <t>Unit</t>
  </si>
  <si>
    <t>Virtual Network</t>
  </si>
  <si>
    <t>Standard (Pay-per-GB)</t>
  </si>
  <si>
    <t>Networking &amp; Integration Subtotal</t>
  </si>
  <si>
    <t>Azure Monitor</t>
  </si>
  <si>
    <t>Azure Support Plan</t>
  </si>
  <si>
    <t>Monitoring &amp; Support Subtotal</t>
  </si>
  <si>
    <t>Azure Key Vault</t>
  </si>
  <si>
    <t>Standard Tier (Operations)</t>
  </si>
  <si>
    <t>Operations</t>
  </si>
  <si>
    <t>Azure Defender for Cloud</t>
  </si>
  <si>
    <t>Standard Plan (Servers)</t>
  </si>
  <si>
    <t>Servers</t>
  </si>
  <si>
    <t>Security &amp; Compliance Subtotal</t>
  </si>
  <si>
    <t>Total Monthly Cost</t>
  </si>
  <si>
    <t>Azure OpenAI</t>
  </si>
  <si>
    <t>Azure AI Search</t>
  </si>
  <si>
    <t>Rate/ Hour</t>
  </si>
  <si>
    <t>Phase 0</t>
  </si>
  <si>
    <t>Phase 1</t>
  </si>
  <si>
    <t>Phase 2</t>
  </si>
  <si>
    <t>Phase 3</t>
  </si>
  <si>
    <t>Phase 4</t>
  </si>
  <si>
    <t>Phase 5</t>
  </si>
  <si>
    <t>Total Hrs</t>
  </si>
  <si>
    <t>QTY</t>
  </si>
  <si>
    <t>Phase 0 Hours</t>
  </si>
  <si>
    <t>Phase 1 Hours</t>
  </si>
  <si>
    <t>Phase 2 Hours</t>
  </si>
  <si>
    <t>Phase 3 Hours</t>
  </si>
  <si>
    <t>Phase 4 Hours</t>
  </si>
  <si>
    <t>Phase 5 Hours</t>
  </si>
  <si>
    <t>Total Investment (Cost)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</si>
</sst>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\$#,##0.00"/>
    <numFmt numFmtId="165" formatCode="0.0&quot;%&quot;"/>
    <numFmt numFmtId="166" formatCode="0.0"/>
    <numFmt numFmtId="167" formatCode="#,##0.0"/>
  </numFmts>
  <fonts count="16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</font>
    <font>
      <b/>
      <sz val="12"/>
      <color rgb="FFFFFFFF"/>
      <name val="Calibri"/>
      <family val="2"/>
    </font>
    <font>
      <b/>
      <sz val="11"/>
      <color rgb="FF333333"/>
      <name val="Calibri"/>
      <family val="2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2060"/>
      <name val="Calibri (Body)"/>
    </font>
    <font>
      <sz val="12"/>
      <color theme="1"/>
      <name val="Calibri (Body)"/>
    </font>
    <font>
      <b/>
      <sz val="12"/>
      <color rgb="FFFFFFFF"/>
      <name val="Calibri (Body)"/>
    </font>
    <font>
      <b/>
      <sz val="12"/>
      <color rgb="FF333333"/>
      <name val="Calibri (Body)"/>
    </font>
    <font>
      <b/>
      <sz val="12"/>
      <color theme="1"/>
      <name val="Calibri (Body)"/>
    </font>
  </fonts>
  <fills count="11">
    <fill>
      <patternFill patternType="none"/>
    </fill>
    <fill>
      <patternFill patternType="gray125"/>
    </fill>
    <fill>
      <patternFill patternType="solid">
        <fgColor rgb="FFE8F0FF"/>
        <bgColor rgb="FFE8F0FF"/>
      </patternFill>
    </fill>
    <fill>
      <patternFill patternType="solid">
        <fgColor rgb="FF002060"/>
        <bgColor rgb="FF002060"/>
      </patternFill>
    </fill>
    <fill>
      <patternFill patternType="solid">
        <fgColor rgb="FFFFE6CC"/>
        <bgColor rgb="FFFFE6CC"/>
      </patternFill>
    </fill>
    <fill>
      <patternFill patternType="solid">
        <fgColor rgb="FFFFF5F0"/>
        <bgColor rgb="FFFFF5F0"/>
      </patternFill>
    </fill>
    <fill>
      <patternFill patternType="solid">
        <fgColor rgb="FF5B9BD5"/>
        <bgColor rgb="FF5B9BD5"/>
      </patternFill>
    </fill>
    <fill>
      <patternFill patternType="solid">
        <fgColor rgb="FF002FA7"/>
        <bgColor indexed="64"/>
      </patternFill>
    </fill>
    <fill>
      <patternFill patternType="solid">
        <fgColor rgb="FF8FAADC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/>
      <bottom style="medium">
        <color rgb="FFBFBFBF"/>
      </bottom>
      <diagonal/>
    </border>
  </borders>
  <cellStyleXfs count="5">
    <xf numFmtId="0" fontId="0" fillId="0" borderId="0"/>
    <xf numFmtId="0" fontId="5" fillId="0" borderId="3" applyNumberFormat="0" applyFill="0" applyAlignment="0" applyProtection="0"/>
    <xf numFmtId="0" fontId="4" fillId="0" borderId="2"/>
    <xf numFmtId="0" fontId="5" fillId="0" borderId="3"/>
    <xf numFmtId="43" fontId="6" fillId="0" borderId="0" applyFont="0" applyFill="0" applyBorder="0" applyAlignment="0" applyProtection="0"/>
  </cellStyleXfs>
  <cellXfs count="68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3" fillId="4" borderId="1" xfId="0" applyFont="1" applyFill="1" applyBorder="1"/>
    <xf numFmtId="0" fontId="0" fillId="4" borderId="1" xfId="0" applyFill="1" applyBorder="1"/>
    <xf numFmtId="164" fontId="3" fillId="4" borderId="1" xfId="0" applyNumberFormat="1" applyFont="1" applyFill="1" applyBorder="1"/>
    <xf numFmtId="164" fontId="5" fillId="0" borderId="3" xfId="1" applyNumberFormat="1"/>
    <xf numFmtId="164" fontId="0" fillId="0" borderId="0" xfId="0" applyNumberFormat="1"/>
    <xf numFmtId="0" fontId="5" fillId="0" borderId="3" xfId="1"/>
    <xf numFmtId="43" fontId="0" fillId="0" borderId="0" xfId="4" applyFont="1"/>
    <xf numFmtId="43" fontId="2" fillId="3" borderId="1" xfId="4" applyFont="1" applyFill="1" applyBorder="1"/>
    <xf numFmtId="43" fontId="0" fillId="0" borderId="1" xfId="4" applyFont="1" applyBorder="1"/>
    <xf numFmtId="43" fontId="0" fillId="4" borderId="1" xfId="4" applyFont="1" applyFill="1" applyBorder="1"/>
    <xf numFmtId="0" fontId="7" fillId="7" borderId="4" xfId="0" applyFont="1" applyFill="1" applyBorder="1" applyAlignment="1">
      <alignment horizontal="left" vertical="center" wrapText="1" readingOrder="1"/>
    </xf>
    <xf numFmtId="0" fontId="9" fillId="0" borderId="4" xfId="0" applyFont="1" applyBorder="1" applyAlignment="1">
      <alignment horizontal="left"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0" fontId="9" fillId="0" borderId="4" xfId="0" applyFont="1" applyBorder="1" applyAlignment="1">
      <alignment vertical="center" wrapText="1" readingOrder="1"/>
    </xf>
    <xf numFmtId="0" fontId="8" fillId="9" borderId="4" xfId="0" applyFont="1" applyFill="1" applyBorder="1" applyAlignment="1">
      <alignment vertical="center" wrapText="1" readingOrder="1"/>
    </xf>
    <xf numFmtId="0" fontId="7" fillId="7" borderId="4" xfId="0" applyFont="1" applyFill="1" applyBorder="1" applyAlignment="1">
      <alignment vertical="center" wrapText="1" readingOrder="1"/>
    </xf>
    <xf numFmtId="0" fontId="8" fillId="8" borderId="4" xfId="0" applyFont="1" applyFill="1" applyBorder="1" applyAlignment="1">
      <alignment vertical="center" wrapText="1" readingOrder="1"/>
    </xf>
    <xf numFmtId="0" fontId="9" fillId="9" borderId="4" xfId="0" applyFont="1" applyFill="1" applyBorder="1" applyAlignment="1">
      <alignment vertical="center" wrapText="1" readingOrder="1"/>
    </xf>
    <xf numFmtId="43" fontId="8" fillId="9" borderId="4" xfId="4" applyFont="1" applyFill="1" applyBorder="1" applyAlignment="1">
      <alignment horizontal="right" vertical="center" wrapText="1" readingOrder="1"/>
    </xf>
    <xf numFmtId="43" fontId="9" fillId="0" borderId="4" xfId="4" applyFont="1" applyBorder="1" applyAlignment="1">
      <alignment horizontal="right" vertical="center" wrapText="1" readingOrder="1"/>
    </xf>
    <xf numFmtId="43" fontId="7" fillId="7" borderId="4" xfId="4" applyFont="1" applyFill="1" applyBorder="1" applyAlignment="1">
      <alignment horizontal="right" vertical="center" wrapText="1" readingOrder="1"/>
    </xf>
    <xf numFmtId="43" fontId="8" fillId="8" borderId="4" xfId="4" applyFont="1" applyFill="1" applyBorder="1" applyAlignment="1">
      <alignment vertical="center" wrapText="1" readingOrder="1"/>
    </xf>
    <xf numFmtId="43" fontId="8" fillId="0" borderId="4" xfId="4" applyFont="1" applyBorder="1" applyAlignment="1">
      <alignment horizontal="right" vertical="center" wrapText="1" readingOrder="1"/>
    </xf>
    <xf numFmtId="0" fontId="10" fillId="0" borderId="4" xfId="0" applyFont="1" applyBorder="1" applyAlignment="1">
      <alignment horizontal="center" vertical="center" wrapText="1" readingOrder="1"/>
    </xf>
    <xf numFmtId="0" fontId="2" fillId="7" borderId="0" xfId="0" applyFont="1" applyFill="1" applyAlignment="1">
      <alignment horizontal="left" vertical="center" wrapText="1" readingOrder="1"/>
    </xf>
    <xf numFmtId="0" fontId="2" fillId="7" borderId="0" xfId="0" applyFont="1" applyFill="1" applyAlignment="1">
      <alignment horizontal="center" vertical="center" wrapText="1" readingOrder="1"/>
    </xf>
    <xf numFmtId="0" fontId="10" fillId="0" borderId="5" xfId="0" applyFont="1" applyBorder="1" applyAlignment="1">
      <alignment horizontal="left" vertical="center" wrapText="1" readingOrder="1"/>
    </xf>
    <xf numFmtId="0" fontId="10" fillId="0" borderId="5" xfId="0" applyFont="1" applyBorder="1" applyAlignment="1">
      <alignment horizontal="right" vertical="center" wrapText="1" readingOrder="1"/>
    </xf>
    <xf numFmtId="0" fontId="10" fillId="0" borderId="5" xfId="0" applyFont="1" applyBorder="1" applyAlignment="1">
      <alignment horizontal="center" vertical="center" wrapText="1" readingOrder="1"/>
    </xf>
    <xf numFmtId="0" fontId="10" fillId="10" borderId="5" xfId="0" applyFont="1" applyFill="1" applyBorder="1" applyAlignment="1">
      <alignment horizontal="center" vertical="center" wrapText="1" readingOrder="1"/>
    </xf>
    <xf numFmtId="0" fontId="10" fillId="0" borderId="4" xfId="0" applyFont="1" applyBorder="1" applyAlignment="1">
      <alignment horizontal="left" vertical="center" wrapText="1" readingOrder="1"/>
    </xf>
    <xf numFmtId="0" fontId="10" fillId="0" borderId="4" xfId="0" applyFont="1" applyBorder="1" applyAlignment="1">
      <alignment horizontal="right" vertical="center" wrapText="1" readingOrder="1"/>
    </xf>
    <xf numFmtId="0" fontId="12" fillId="0" borderId="0" xfId="0" applyFont="1"/>
    <xf numFmtId="0" fontId="13" fillId="3" borderId="1" xfId="0" applyFont="1" applyFill="1" applyBorder="1"/>
    <xf numFmtId="0" fontId="13" fillId="6" borderId="0" xfId="0" applyFont="1" applyFill="1" applyAlignment="1">
      <alignment horizontal="center" vertical="center" wrapText="1"/>
    </xf>
    <xf numFmtId="0" fontId="12" fillId="0" borderId="1" xfId="0" applyFont="1" applyBorder="1"/>
    <xf numFmtId="164" fontId="12" fillId="0" borderId="1" xfId="0" applyNumberFormat="1" applyFont="1" applyBorder="1"/>
    <xf numFmtId="164" fontId="12" fillId="0" borderId="0" xfId="0" applyNumberFormat="1" applyFont="1"/>
    <xf numFmtId="165" fontId="12" fillId="0" borderId="1" xfId="0" applyNumberFormat="1" applyFont="1" applyBorder="1"/>
    <xf numFmtId="165" fontId="12" fillId="0" borderId="0" xfId="0" applyNumberFormat="1" applyFont="1"/>
    <xf numFmtId="0" fontId="14" fillId="4" borderId="1" xfId="0" applyFont="1" applyFill="1" applyBorder="1"/>
    <xf numFmtId="164" fontId="14" fillId="4" borderId="1" xfId="0" applyNumberFormat="1" applyFont="1" applyFill="1" applyBorder="1"/>
    <xf numFmtId="0" fontId="12" fillId="4" borderId="1" xfId="0" applyFont="1" applyFill="1" applyBorder="1"/>
    <xf numFmtId="0" fontId="15" fillId="0" borderId="0" xfId="0" applyFont="1"/>
    <xf numFmtId="164" fontId="15" fillId="0" borderId="0" xfId="0" applyNumberFormat="1" applyFont="1"/>
    <xf numFmtId="165" fontId="15" fillId="0" borderId="1" xfId="0" applyNumberFormat="1" applyFont="1" applyBorder="1"/>
    <xf numFmtId="10" fontId="12" fillId="0" borderId="0" xfId="0" applyNumberFormat="1" applyFont="1"/>
    <xf numFmtId="167" fontId="12" fillId="0" borderId="0" xfId="0" applyNumberFormat="1" applyFont="1"/>
    <xf numFmtId="43" fontId="12" fillId="0" borderId="0" xfId="4" applyFont="1"/>
    <xf numFmtId="3" fontId="12" fillId="0" borderId="1" xfId="0" applyNumberFormat="1" applyFont="1" applyBorder="1"/>
    <xf numFmtId="9" fontId="12" fillId="0" borderId="1" xfId="0" applyNumberFormat="1" applyFont="1" applyBorder="1"/>
    <xf numFmtId="0" fontId="14" fillId="5" borderId="1" xfId="0" applyFont="1" applyFill="1" applyBorder="1"/>
    <xf numFmtId="0" fontId="12" fillId="5" borderId="1" xfId="0" applyFont="1" applyFill="1" applyBorder="1"/>
    <xf numFmtId="0" fontId="13" fillId="3" borderId="1" xfId="0" applyFont="1" applyFill="1" applyBorder="1" applyAlignment="1">
      <alignment wrapText="1"/>
    </xf>
    <xf numFmtId="0" fontId="12" fillId="0" borderId="1" xfId="0" applyFont="1" applyBorder="1" applyAlignment="1">
      <alignment wrapText="1"/>
    </xf>
    <xf numFmtId="166" fontId="12" fillId="0" borderId="1" xfId="0" applyNumberFormat="1" applyFont="1" applyBorder="1"/>
    <xf numFmtId="0" fontId="1" fillId="2" borderId="0" xfId="0" applyFont="1" applyFill="1"/>
    <xf numFmtId="0" fontId="0" fillId="0" borderId="0" xfId="0"/>
    <xf numFmtId="0" fontId="8" fillId="0" borderId="4" xfId="0" applyFont="1" applyBorder="1" applyAlignment="1">
      <alignment horizontal="right" vertical="center" wrapText="1" readingOrder="1"/>
    </xf>
    <xf numFmtId="0" fontId="11" fillId="2" borderId="0" xfId="0" applyFont="1" applyFill="1" applyAlignment="1">
      <alignment horizontal="left"/>
    </xf>
    <xf numFmtId="0" fontId="11" fillId="0" borderId="0" xfId="0" applyFont="1"/>
    <xf numFmtId="0" fontId="12" fillId="0" borderId="0" xfId="0" applyFont="1"/>
    <xf numFmtId="0" fontId="11" fillId="2" borderId="0" xfId="0" applyFont="1" applyFill="1"/>
    <xf numFmtId="0" fontId="13" fillId="3" borderId="1" xfId="0" applyFont="1" applyFill="1" applyBorder="1" applyAlignment="1">
      <alignment vertical="center"/>
    </xf>
  </cellXfs>
  <cellStyles count="5">
    <cellStyle name="Comma" xfId="4" builtinId="3"/>
    <cellStyle name="Heading 2 2" xfId="2" xr:uid="{CCDC2C8B-C253-4DAE-831D-9E25120979D9}"/>
    <cellStyle name="Normal" xfId="0" builtinId="0"/>
    <cellStyle name="Total" xfId="1" builtinId="25"/>
    <cellStyle name="Total 2" xfId="3" xr:uid="{FDC7D42E-E849-44DC-B104-B5EC746A83E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FB4B-1AC3-46C3-8C5C-8177689EFFD5}">
  <dimension ref="A1:P13"/>
  <sheetViews>
    <sheetView workbookViewId="0">
      <selection activeCell="P2" sqref="P2:P13"/>
    </sheetView>
  </sheetViews>
  <sheetFormatPr defaultColWidth="8.85546875" defaultRowHeight="15"/>
  <cols>
    <col min="1" max="1" width="49.42578125" customWidth="1"/>
    <col min="2" max="2" width="11.42578125" bestFit="1" customWidth="1"/>
    <col min="3" max="8" width="8.42578125" bestFit="1" customWidth="1"/>
    <col min="9" max="9" width="9.42578125" bestFit="1" customWidth="1"/>
  </cols>
  <sheetData>
    <row r="1" spans="1:16" ht="31.5">
      <c r="A1" s="28" t="s">
        <v>1</v>
      </c>
      <c r="B1" s="28" t="s">
        <v>161</v>
      </c>
      <c r="C1" s="28" t="s">
        <v>153</v>
      </c>
      <c r="D1" s="29" t="s">
        <v>154</v>
      </c>
      <c r="E1" s="29" t="s">
        <v>162</v>
      </c>
      <c r="F1" s="29" t="s">
        <v>155</v>
      </c>
      <c r="G1" s="29" t="s">
        <v>163</v>
      </c>
      <c r="H1" s="29" t="s">
        <v>156</v>
      </c>
      <c r="I1" s="29" t="s">
        <v>164</v>
      </c>
      <c r="J1" s="29" t="s">
        <v>157</v>
      </c>
      <c r="K1" s="29" t="s">
        <v>165</v>
      </c>
      <c r="L1" s="29" t="s">
        <v>158</v>
      </c>
      <c r="M1" s="29" t="s">
        <v>166</v>
      </c>
      <c r="N1" s="29" t="s">
        <v>159</v>
      </c>
      <c r="O1" s="29" t="s">
        <v>167</v>
      </c>
      <c r="P1" s="29" t="s">
        <v>160</v>
      </c>
    </row>
    <row r="2" spans="1:16" ht="16.5" thickBot="1">
      <c r="A2" s="30" t="s">
        <v>5</v>
      </c>
      <c r="B2" s="30">
        <v>1</v>
      </c>
      <c r="C2" s="31">
        <v>80</v>
      </c>
      <c r="D2" s="32">
        <v>0.5</v>
      </c>
      <c r="E2" s="33">
        <f>D2*(8*5*4)</f>
        <v>80</v>
      </c>
      <c r="F2" s="32">
        <v>0.5</v>
      </c>
      <c r="G2" s="33">
        <f>F2*(8*5*6)</f>
        <v>120</v>
      </c>
      <c r="H2" s="32">
        <v>0.5</v>
      </c>
      <c r="I2" s="33">
        <f>H2*(8*5*12)</f>
        <v>240</v>
      </c>
      <c r="J2" s="32">
        <v>0.3</v>
      </c>
      <c r="K2" s="33">
        <f>J2*(8*5*13)</f>
        <v>156</v>
      </c>
      <c r="L2" s="32">
        <v>0.5</v>
      </c>
      <c r="M2" s="33">
        <f>L2*(8*5*9)</f>
        <v>180</v>
      </c>
      <c r="N2" s="32">
        <v>1</v>
      </c>
      <c r="O2" s="33">
        <f>N2*(8*5*16)</f>
        <v>640</v>
      </c>
      <c r="P2" s="32">
        <f>E2+G2+I2+K2+M2+O2</f>
        <v>1416</v>
      </c>
    </row>
    <row r="3" spans="1:16" ht="16.5" thickBot="1">
      <c r="A3" s="34" t="s">
        <v>6</v>
      </c>
      <c r="B3" s="34">
        <v>1</v>
      </c>
      <c r="C3" s="35">
        <v>100</v>
      </c>
      <c r="D3" s="27">
        <v>0.7</v>
      </c>
      <c r="E3" s="33">
        <f t="shared" ref="E3:E13" si="0">D3*(8*5*4)</f>
        <v>112</v>
      </c>
      <c r="F3" s="27">
        <v>0.5</v>
      </c>
      <c r="G3" s="33">
        <f t="shared" ref="G3:G13" si="1">F3*(8*5*5)</f>
        <v>100</v>
      </c>
      <c r="H3" s="27">
        <v>0.3</v>
      </c>
      <c r="I3" s="33">
        <f t="shared" ref="I3:I13" si="2">H3*(8*5*12)</f>
        <v>144</v>
      </c>
      <c r="J3" s="27">
        <v>0.3</v>
      </c>
      <c r="K3" s="33">
        <f t="shared" ref="K3:K13" si="3">J3*(8*5*13)</f>
        <v>156</v>
      </c>
      <c r="L3" s="27">
        <v>0.3</v>
      </c>
      <c r="M3" s="33">
        <f t="shared" ref="M3:M13" si="4">L3*(8*5*9)</f>
        <v>108</v>
      </c>
      <c r="N3" s="27">
        <v>0.3</v>
      </c>
      <c r="O3" s="33">
        <f t="shared" ref="O3:O13" si="5">N3*(8*5*16)</f>
        <v>192</v>
      </c>
      <c r="P3" s="32">
        <f t="shared" ref="P3:P13" si="6">E3+G3+I3+K3+M3+O3</f>
        <v>812</v>
      </c>
    </row>
    <row r="4" spans="1:16" ht="16.5" thickBot="1">
      <c r="A4" s="34" t="s">
        <v>7</v>
      </c>
      <c r="B4" s="34">
        <v>1</v>
      </c>
      <c r="C4" s="35">
        <v>90</v>
      </c>
      <c r="D4" s="27">
        <v>0.7</v>
      </c>
      <c r="E4" s="33">
        <f t="shared" si="0"/>
        <v>112</v>
      </c>
      <c r="F4" s="27">
        <v>1</v>
      </c>
      <c r="G4" s="33">
        <f t="shared" si="1"/>
        <v>200</v>
      </c>
      <c r="H4" s="27">
        <v>0.3</v>
      </c>
      <c r="I4" s="33">
        <f t="shared" si="2"/>
        <v>144</v>
      </c>
      <c r="J4" s="27">
        <v>0.1</v>
      </c>
      <c r="K4" s="33">
        <f t="shared" si="3"/>
        <v>52</v>
      </c>
      <c r="L4" s="27">
        <v>0</v>
      </c>
      <c r="M4" s="33">
        <f t="shared" si="4"/>
        <v>0</v>
      </c>
      <c r="N4" s="27">
        <v>0</v>
      </c>
      <c r="O4" s="33">
        <f t="shared" si="5"/>
        <v>0</v>
      </c>
      <c r="P4" s="32">
        <f t="shared" si="6"/>
        <v>508</v>
      </c>
    </row>
    <row r="5" spans="1:16" ht="16.5" thickBot="1">
      <c r="A5" s="34" t="s">
        <v>8</v>
      </c>
      <c r="B5" s="34">
        <v>1</v>
      </c>
      <c r="C5" s="35">
        <v>70</v>
      </c>
      <c r="D5" s="27">
        <v>0.5</v>
      </c>
      <c r="E5" s="33">
        <f t="shared" si="0"/>
        <v>80</v>
      </c>
      <c r="F5" s="27">
        <v>0.7</v>
      </c>
      <c r="G5" s="33">
        <f t="shared" si="1"/>
        <v>140</v>
      </c>
      <c r="H5" s="27">
        <v>0.3</v>
      </c>
      <c r="I5" s="33">
        <f t="shared" si="2"/>
        <v>144</v>
      </c>
      <c r="J5" s="27">
        <v>0.1</v>
      </c>
      <c r="K5" s="33">
        <f t="shared" si="3"/>
        <v>52</v>
      </c>
      <c r="L5" s="27">
        <v>0.1</v>
      </c>
      <c r="M5" s="33">
        <f t="shared" si="4"/>
        <v>36</v>
      </c>
      <c r="N5" s="27">
        <v>0</v>
      </c>
      <c r="O5" s="33">
        <f t="shared" si="5"/>
        <v>0</v>
      </c>
      <c r="P5" s="32">
        <f t="shared" si="6"/>
        <v>452</v>
      </c>
    </row>
    <row r="6" spans="1:16" ht="16.5" thickBot="1">
      <c r="A6" s="34" t="s">
        <v>9</v>
      </c>
      <c r="B6" s="34">
        <v>1</v>
      </c>
      <c r="C6" s="35">
        <v>80</v>
      </c>
      <c r="D6" s="27">
        <v>0.4</v>
      </c>
      <c r="E6" s="33">
        <f t="shared" si="0"/>
        <v>64</v>
      </c>
      <c r="F6" s="27">
        <v>0.4</v>
      </c>
      <c r="G6" s="33">
        <f t="shared" si="1"/>
        <v>80</v>
      </c>
      <c r="H6" s="27">
        <v>0.2</v>
      </c>
      <c r="I6" s="33">
        <f t="shared" si="2"/>
        <v>96</v>
      </c>
      <c r="J6" s="27">
        <v>0.1</v>
      </c>
      <c r="K6" s="33">
        <f t="shared" si="3"/>
        <v>52</v>
      </c>
      <c r="L6" s="27">
        <v>0.1</v>
      </c>
      <c r="M6" s="33">
        <f t="shared" si="4"/>
        <v>36</v>
      </c>
      <c r="N6" s="27">
        <v>0.1</v>
      </c>
      <c r="O6" s="33">
        <f t="shared" si="5"/>
        <v>64</v>
      </c>
      <c r="P6" s="32">
        <f t="shared" si="6"/>
        <v>392</v>
      </c>
    </row>
    <row r="7" spans="1:16" ht="16.5" thickBot="1">
      <c r="A7" s="34" t="s">
        <v>10</v>
      </c>
      <c r="B7" s="34">
        <v>2</v>
      </c>
      <c r="C7" s="35">
        <v>80</v>
      </c>
      <c r="D7" s="27">
        <v>0.3</v>
      </c>
      <c r="E7" s="33">
        <f t="shared" si="0"/>
        <v>48</v>
      </c>
      <c r="F7" s="27">
        <v>2</v>
      </c>
      <c r="G7" s="33">
        <f t="shared" si="1"/>
        <v>400</v>
      </c>
      <c r="H7" s="27">
        <v>1</v>
      </c>
      <c r="I7" s="33">
        <f t="shared" si="2"/>
        <v>480</v>
      </c>
      <c r="J7" s="27">
        <v>0.6</v>
      </c>
      <c r="K7" s="33">
        <f t="shared" si="3"/>
        <v>312</v>
      </c>
      <c r="L7" s="27">
        <v>0.4</v>
      </c>
      <c r="M7" s="33">
        <f t="shared" si="4"/>
        <v>144</v>
      </c>
      <c r="N7" s="27">
        <v>0.3</v>
      </c>
      <c r="O7" s="33">
        <f t="shared" si="5"/>
        <v>192</v>
      </c>
      <c r="P7" s="32">
        <f t="shared" si="6"/>
        <v>1576</v>
      </c>
    </row>
    <row r="8" spans="1:16" ht="16.5" thickBot="1">
      <c r="A8" s="34" t="s">
        <v>11</v>
      </c>
      <c r="B8" s="34">
        <v>2</v>
      </c>
      <c r="C8" s="35">
        <v>95</v>
      </c>
      <c r="D8" s="27">
        <v>0.3</v>
      </c>
      <c r="E8" s="33">
        <f t="shared" si="0"/>
        <v>48</v>
      </c>
      <c r="F8" s="27">
        <v>0.5</v>
      </c>
      <c r="G8" s="33">
        <f t="shared" si="1"/>
        <v>100</v>
      </c>
      <c r="H8" s="27">
        <v>2</v>
      </c>
      <c r="I8" s="33">
        <f t="shared" si="2"/>
        <v>960</v>
      </c>
      <c r="J8" s="27">
        <v>0.6</v>
      </c>
      <c r="K8" s="33">
        <f t="shared" si="3"/>
        <v>312</v>
      </c>
      <c r="L8" s="27">
        <v>0.5</v>
      </c>
      <c r="M8" s="33">
        <f t="shared" si="4"/>
        <v>180</v>
      </c>
      <c r="N8" s="27">
        <v>0.5</v>
      </c>
      <c r="O8" s="33">
        <f t="shared" si="5"/>
        <v>320</v>
      </c>
      <c r="P8" s="32">
        <f t="shared" si="6"/>
        <v>1920</v>
      </c>
    </row>
    <row r="9" spans="1:16" ht="16.5" thickBot="1">
      <c r="A9" s="34" t="s">
        <v>12</v>
      </c>
      <c r="B9" s="34">
        <v>1</v>
      </c>
      <c r="C9" s="35">
        <v>100</v>
      </c>
      <c r="D9" s="27">
        <v>0.2</v>
      </c>
      <c r="E9" s="33">
        <f t="shared" si="0"/>
        <v>32</v>
      </c>
      <c r="F9" s="27">
        <v>0.3</v>
      </c>
      <c r="G9" s="33">
        <f t="shared" si="1"/>
        <v>60</v>
      </c>
      <c r="H9" s="27">
        <v>0.7</v>
      </c>
      <c r="I9" s="33">
        <f t="shared" si="2"/>
        <v>336</v>
      </c>
      <c r="J9" s="27">
        <v>1</v>
      </c>
      <c r="K9" s="33">
        <f t="shared" si="3"/>
        <v>520</v>
      </c>
      <c r="L9" s="27">
        <v>0.4</v>
      </c>
      <c r="M9" s="33">
        <f t="shared" si="4"/>
        <v>144</v>
      </c>
      <c r="N9" s="27">
        <v>0.4</v>
      </c>
      <c r="O9" s="33">
        <f t="shared" si="5"/>
        <v>256</v>
      </c>
      <c r="P9" s="32">
        <f t="shared" si="6"/>
        <v>1348</v>
      </c>
    </row>
    <row r="10" spans="1:16" ht="16.5" thickBot="1">
      <c r="A10" s="34" t="s">
        <v>13</v>
      </c>
      <c r="B10" s="34">
        <v>2</v>
      </c>
      <c r="C10" s="35">
        <v>95</v>
      </c>
      <c r="D10" s="27">
        <v>0</v>
      </c>
      <c r="E10" s="33">
        <f t="shared" si="0"/>
        <v>0</v>
      </c>
      <c r="F10" s="27">
        <v>0.3</v>
      </c>
      <c r="G10" s="33">
        <f t="shared" si="1"/>
        <v>60</v>
      </c>
      <c r="H10" s="27">
        <v>0.5</v>
      </c>
      <c r="I10" s="33">
        <f t="shared" si="2"/>
        <v>240</v>
      </c>
      <c r="J10" s="27">
        <v>2</v>
      </c>
      <c r="K10" s="33">
        <f t="shared" si="3"/>
        <v>1040</v>
      </c>
      <c r="L10" s="27">
        <v>2</v>
      </c>
      <c r="M10" s="33">
        <f t="shared" si="4"/>
        <v>720</v>
      </c>
      <c r="N10" s="27">
        <v>0.5</v>
      </c>
      <c r="O10" s="33">
        <f t="shared" si="5"/>
        <v>320</v>
      </c>
      <c r="P10" s="32">
        <f t="shared" si="6"/>
        <v>2380</v>
      </c>
    </row>
    <row r="11" spans="1:16" ht="16.5" thickBot="1">
      <c r="A11" s="34" t="s">
        <v>14</v>
      </c>
      <c r="B11" s="34">
        <v>1</v>
      </c>
      <c r="C11" s="35">
        <v>90</v>
      </c>
      <c r="D11" s="27">
        <v>0.3</v>
      </c>
      <c r="E11" s="33">
        <f t="shared" si="0"/>
        <v>48</v>
      </c>
      <c r="F11" s="27">
        <v>1</v>
      </c>
      <c r="G11" s="33">
        <f t="shared" si="1"/>
        <v>200</v>
      </c>
      <c r="H11" s="27">
        <v>0.7</v>
      </c>
      <c r="I11" s="33">
        <f t="shared" si="2"/>
        <v>336</v>
      </c>
      <c r="J11" s="27">
        <v>0.7</v>
      </c>
      <c r="K11" s="33">
        <f t="shared" si="3"/>
        <v>364</v>
      </c>
      <c r="L11" s="27">
        <v>0.7</v>
      </c>
      <c r="M11" s="33">
        <f t="shared" si="4"/>
        <v>251.99999999999997</v>
      </c>
      <c r="N11" s="27">
        <v>0.5</v>
      </c>
      <c r="O11" s="33">
        <f t="shared" si="5"/>
        <v>320</v>
      </c>
      <c r="P11" s="32">
        <f t="shared" si="6"/>
        <v>1520</v>
      </c>
    </row>
    <row r="12" spans="1:16" ht="16.5" thickBot="1">
      <c r="A12" s="34" t="s">
        <v>15</v>
      </c>
      <c r="B12" s="34">
        <v>1</v>
      </c>
      <c r="C12" s="35">
        <v>50</v>
      </c>
      <c r="D12" s="27">
        <v>0.4</v>
      </c>
      <c r="E12" s="33">
        <f t="shared" si="0"/>
        <v>64</v>
      </c>
      <c r="F12" s="27">
        <v>0.3</v>
      </c>
      <c r="G12" s="33">
        <f t="shared" si="1"/>
        <v>60</v>
      </c>
      <c r="H12" s="27">
        <v>0.6</v>
      </c>
      <c r="I12" s="33">
        <f t="shared" si="2"/>
        <v>288</v>
      </c>
      <c r="J12" s="27">
        <v>0.7</v>
      </c>
      <c r="K12" s="33">
        <f t="shared" si="3"/>
        <v>364</v>
      </c>
      <c r="L12" s="27">
        <v>1</v>
      </c>
      <c r="M12" s="33">
        <f t="shared" si="4"/>
        <v>360</v>
      </c>
      <c r="N12" s="27">
        <v>0.8</v>
      </c>
      <c r="O12" s="33">
        <f t="shared" si="5"/>
        <v>512</v>
      </c>
      <c r="P12" s="32">
        <f t="shared" si="6"/>
        <v>1648</v>
      </c>
    </row>
    <row r="13" spans="1:16" ht="16.5" thickBot="1">
      <c r="A13" s="34" t="s">
        <v>16</v>
      </c>
      <c r="B13" s="34">
        <v>1</v>
      </c>
      <c r="C13" s="35">
        <v>50</v>
      </c>
      <c r="D13" s="27">
        <v>0</v>
      </c>
      <c r="E13" s="33">
        <f t="shared" si="0"/>
        <v>0</v>
      </c>
      <c r="F13" s="27">
        <v>0</v>
      </c>
      <c r="G13" s="33">
        <f t="shared" si="1"/>
        <v>0</v>
      </c>
      <c r="H13" s="27">
        <v>0</v>
      </c>
      <c r="I13" s="33">
        <f t="shared" si="2"/>
        <v>0</v>
      </c>
      <c r="J13" s="27">
        <v>0</v>
      </c>
      <c r="K13" s="33">
        <f t="shared" si="3"/>
        <v>0</v>
      </c>
      <c r="L13" s="27">
        <v>0.2</v>
      </c>
      <c r="M13" s="33">
        <f t="shared" si="4"/>
        <v>72</v>
      </c>
      <c r="N13" s="27">
        <v>0.6</v>
      </c>
      <c r="O13" s="33">
        <f t="shared" si="5"/>
        <v>384</v>
      </c>
      <c r="P13" s="32">
        <f t="shared" si="6"/>
        <v>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24EAE-F92C-474A-BE0A-E7AFCB83A845}">
  <dimension ref="A1:D15"/>
  <sheetViews>
    <sheetView workbookViewId="0">
      <selection activeCell="D3" sqref="D3:D14"/>
    </sheetView>
  </sheetViews>
  <sheetFormatPr defaultColWidth="8.85546875" defaultRowHeight="15"/>
  <cols>
    <col min="1" max="1" width="48.140625" customWidth="1"/>
    <col min="2" max="2" width="13.42578125" customWidth="1"/>
    <col min="3" max="3" width="11.42578125" style="10" customWidth="1"/>
    <col min="4" max="4" width="13.140625" bestFit="1" customWidth="1"/>
  </cols>
  <sheetData>
    <row r="1" spans="1:4">
      <c r="A1" s="60" t="s">
        <v>98</v>
      </c>
      <c r="B1" s="61"/>
      <c r="C1" s="61"/>
      <c r="D1" s="61"/>
    </row>
    <row r="2" spans="1:4" ht="15.75">
      <c r="A2" s="1" t="s">
        <v>1</v>
      </c>
      <c r="B2" s="1" t="s">
        <v>2</v>
      </c>
      <c r="C2" s="11" t="s">
        <v>3</v>
      </c>
      <c r="D2" s="1" t="s">
        <v>4</v>
      </c>
    </row>
    <row r="3" spans="1:4">
      <c r="A3" s="2" t="s">
        <v>5</v>
      </c>
      <c r="B3" s="3">
        <v>80</v>
      </c>
      <c r="C3" s="12">
        <v>1416</v>
      </c>
      <c r="D3" s="3">
        <f t="shared" ref="D3:D14" si="0">B3*C3</f>
        <v>113280</v>
      </c>
    </row>
    <row r="4" spans="1:4">
      <c r="A4" s="2" t="s">
        <v>6</v>
      </c>
      <c r="B4" s="3">
        <v>100</v>
      </c>
      <c r="C4" s="12">
        <v>812</v>
      </c>
      <c r="D4" s="3">
        <f t="shared" si="0"/>
        <v>81200</v>
      </c>
    </row>
    <row r="5" spans="1:4">
      <c r="A5" s="2" t="s">
        <v>7</v>
      </c>
      <c r="B5" s="3">
        <v>90</v>
      </c>
      <c r="C5" s="12">
        <v>508</v>
      </c>
      <c r="D5" s="3">
        <f t="shared" si="0"/>
        <v>45720</v>
      </c>
    </row>
    <row r="6" spans="1:4">
      <c r="A6" s="2" t="s">
        <v>8</v>
      </c>
      <c r="B6" s="3">
        <v>70</v>
      </c>
      <c r="C6" s="12">
        <v>452</v>
      </c>
      <c r="D6" s="3">
        <f t="shared" si="0"/>
        <v>31640</v>
      </c>
    </row>
    <row r="7" spans="1:4">
      <c r="A7" s="2" t="s">
        <v>9</v>
      </c>
      <c r="B7" s="3">
        <v>80</v>
      </c>
      <c r="C7" s="12">
        <v>392</v>
      </c>
      <c r="D7" s="3">
        <f t="shared" si="0"/>
        <v>31360</v>
      </c>
    </row>
    <row r="8" spans="1:4">
      <c r="A8" s="2" t="s">
        <v>10</v>
      </c>
      <c r="B8" s="3">
        <v>80</v>
      </c>
      <c r="C8" s="12">
        <v>1576</v>
      </c>
      <c r="D8" s="3">
        <f t="shared" si="0"/>
        <v>126080</v>
      </c>
    </row>
    <row r="9" spans="1:4">
      <c r="A9" s="2" t="s">
        <v>11</v>
      </c>
      <c r="B9" s="3">
        <v>95</v>
      </c>
      <c r="C9" s="12">
        <v>1920</v>
      </c>
      <c r="D9" s="3">
        <f t="shared" si="0"/>
        <v>182400</v>
      </c>
    </row>
    <row r="10" spans="1:4">
      <c r="A10" s="2" t="s">
        <v>12</v>
      </c>
      <c r="B10" s="3">
        <v>100</v>
      </c>
      <c r="C10" s="12">
        <v>1348</v>
      </c>
      <c r="D10" s="3">
        <f t="shared" si="0"/>
        <v>134800</v>
      </c>
    </row>
    <row r="11" spans="1:4">
      <c r="A11" s="2" t="s">
        <v>13</v>
      </c>
      <c r="B11" s="3">
        <v>95</v>
      </c>
      <c r="C11" s="12">
        <v>2380</v>
      </c>
      <c r="D11" s="3">
        <f t="shared" si="0"/>
        <v>226100</v>
      </c>
    </row>
    <row r="12" spans="1:4">
      <c r="A12" s="2" t="s">
        <v>14</v>
      </c>
      <c r="B12" s="3">
        <v>90</v>
      </c>
      <c r="C12" s="12">
        <v>1520</v>
      </c>
      <c r="D12" s="3">
        <f t="shared" si="0"/>
        <v>136800</v>
      </c>
    </row>
    <row r="13" spans="1:4">
      <c r="A13" s="2" t="s">
        <v>15</v>
      </c>
      <c r="B13" s="3">
        <v>50</v>
      </c>
      <c r="C13" s="12">
        <v>1648</v>
      </c>
      <c r="D13" s="3">
        <f t="shared" si="0"/>
        <v>82400</v>
      </c>
    </row>
    <row r="14" spans="1:4">
      <c r="A14" s="2" t="s">
        <v>16</v>
      </c>
      <c r="B14" s="3">
        <v>50</v>
      </c>
      <c r="C14" s="12">
        <v>456</v>
      </c>
      <c r="D14" s="3">
        <f t="shared" si="0"/>
        <v>22800</v>
      </c>
    </row>
    <row r="15" spans="1:4">
      <c r="A15" s="4" t="s">
        <v>17</v>
      </c>
      <c r="B15" s="5"/>
      <c r="C15" s="13"/>
      <c r="D15" s="6">
        <f>SUM(D3:D14)</f>
        <v>1214580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2A32-5E6E-406F-9668-E9F0FC77F7D4}">
  <dimension ref="A1:E33"/>
  <sheetViews>
    <sheetView workbookViewId="0">
      <selection activeCell="E33" sqref="E33"/>
    </sheetView>
  </sheetViews>
  <sheetFormatPr defaultColWidth="8.85546875" defaultRowHeight="15"/>
  <cols>
    <col min="1" max="1" width="36.28515625" customWidth="1"/>
    <col min="2" max="2" width="47.42578125" customWidth="1"/>
    <col min="3" max="3" width="24" customWidth="1"/>
    <col min="4" max="4" width="14.85546875" customWidth="1"/>
    <col min="5" max="5" width="10" bestFit="1" customWidth="1"/>
  </cols>
  <sheetData>
    <row r="1" spans="1:5" ht="15.75" thickBot="1">
      <c r="A1" s="60" t="s">
        <v>71</v>
      </c>
      <c r="B1" s="61"/>
      <c r="C1" s="61"/>
      <c r="D1" s="61"/>
    </row>
    <row r="2" spans="1:5" ht="15.75" thickBot="1">
      <c r="A2" s="14" t="s">
        <v>99</v>
      </c>
      <c r="B2" s="19" t="s">
        <v>100</v>
      </c>
      <c r="C2" s="19" t="s">
        <v>101</v>
      </c>
      <c r="D2" s="19" t="s">
        <v>102</v>
      </c>
      <c r="E2" s="24" t="s">
        <v>103</v>
      </c>
    </row>
    <row r="3" spans="1:5" ht="15.75" thickBot="1">
      <c r="A3" s="20" t="s">
        <v>104</v>
      </c>
      <c r="B3" s="20"/>
      <c r="C3" s="20"/>
      <c r="D3" s="20"/>
      <c r="E3" s="25"/>
    </row>
    <row r="4" spans="1:5" ht="15.75" thickBot="1">
      <c r="A4" s="17" t="s">
        <v>105</v>
      </c>
      <c r="B4" s="15" t="s">
        <v>106</v>
      </c>
      <c r="C4" s="16">
        <v>1</v>
      </c>
      <c r="D4" s="17" t="s">
        <v>107</v>
      </c>
      <c r="E4" s="23">
        <v>350.99</v>
      </c>
    </row>
    <row r="5" spans="1:5" ht="15.75" thickBot="1">
      <c r="A5" s="17" t="s">
        <v>108</v>
      </c>
      <c r="B5" s="15" t="s">
        <v>109</v>
      </c>
      <c r="C5" s="16">
        <v>3</v>
      </c>
      <c r="D5" s="17" t="s">
        <v>110</v>
      </c>
      <c r="E5" s="23">
        <v>485.04</v>
      </c>
    </row>
    <row r="6" spans="1:5" ht="15.75" thickBot="1">
      <c r="A6" s="17" t="s">
        <v>111</v>
      </c>
      <c r="B6" s="15" t="s">
        <v>112</v>
      </c>
      <c r="C6" s="16">
        <v>1</v>
      </c>
      <c r="D6" s="17" t="s">
        <v>113</v>
      </c>
      <c r="E6" s="23">
        <v>156.22</v>
      </c>
    </row>
    <row r="7" spans="1:5" ht="15.75" thickBot="1">
      <c r="A7" s="17" t="s">
        <v>114</v>
      </c>
      <c r="B7" s="15" t="s">
        <v>115</v>
      </c>
      <c r="C7" s="16">
        <v>1</v>
      </c>
      <c r="D7" s="17" t="s">
        <v>113</v>
      </c>
      <c r="E7" s="23">
        <v>308.57</v>
      </c>
    </row>
    <row r="8" spans="1:5" ht="15.75" thickBot="1">
      <c r="A8" s="18" t="s">
        <v>116</v>
      </c>
      <c r="B8" s="18"/>
      <c r="C8" s="18"/>
      <c r="D8" s="18"/>
      <c r="E8" s="22">
        <f>SUM(E4:E7)</f>
        <v>1300.82</v>
      </c>
    </row>
    <row r="9" spans="1:5" ht="15.75" thickBot="1">
      <c r="A9" s="20" t="s">
        <v>19</v>
      </c>
      <c r="B9" s="20"/>
      <c r="C9" s="20"/>
      <c r="D9" s="20"/>
      <c r="E9" s="25"/>
    </row>
    <row r="10" spans="1:5" ht="15.75" thickBot="1">
      <c r="A10" s="17" t="s">
        <v>117</v>
      </c>
      <c r="B10" s="15" t="s">
        <v>118</v>
      </c>
      <c r="C10" s="16">
        <v>500</v>
      </c>
      <c r="D10" s="17" t="s">
        <v>119</v>
      </c>
      <c r="E10" s="23">
        <v>17.57</v>
      </c>
    </row>
    <row r="11" spans="1:5" ht="15.75" thickBot="1">
      <c r="A11" s="17" t="s">
        <v>120</v>
      </c>
      <c r="B11" s="15" t="s">
        <v>121</v>
      </c>
      <c r="C11" s="16">
        <v>1000</v>
      </c>
      <c r="D11" s="17" t="s">
        <v>119</v>
      </c>
      <c r="E11" s="23">
        <v>21.53</v>
      </c>
    </row>
    <row r="12" spans="1:5" ht="15.75" thickBot="1">
      <c r="A12" s="17" t="s">
        <v>122</v>
      </c>
      <c r="B12" s="15" t="s">
        <v>123</v>
      </c>
      <c r="C12" s="16">
        <v>1</v>
      </c>
      <c r="D12" s="17" t="s">
        <v>124</v>
      </c>
      <c r="E12" s="23">
        <v>971.43</v>
      </c>
    </row>
    <row r="13" spans="1:5" ht="15.75" thickBot="1">
      <c r="A13" s="21" t="s">
        <v>125</v>
      </c>
      <c r="B13" s="21"/>
      <c r="C13" s="21"/>
      <c r="D13" s="21"/>
      <c r="E13" s="22">
        <f>SUM(E10:E12)</f>
        <v>1010.53</v>
      </c>
    </row>
    <row r="14" spans="1:5" ht="15.75" thickBot="1">
      <c r="A14" s="20" t="s">
        <v>20</v>
      </c>
      <c r="B14" s="20"/>
      <c r="C14" s="20"/>
      <c r="D14" s="20"/>
      <c r="E14" s="25"/>
    </row>
    <row r="15" spans="1:5" ht="15.75" thickBot="1">
      <c r="A15" s="17" t="s">
        <v>151</v>
      </c>
      <c r="B15" s="15" t="s">
        <v>126</v>
      </c>
      <c r="C15" s="16">
        <v>1</v>
      </c>
      <c r="D15" s="17" t="s">
        <v>127</v>
      </c>
      <c r="E15" s="23">
        <v>625</v>
      </c>
    </row>
    <row r="16" spans="1:5" ht="15.75" thickBot="1">
      <c r="A16" s="17" t="s">
        <v>152</v>
      </c>
      <c r="B16" s="15" t="s">
        <v>21</v>
      </c>
      <c r="C16" s="16">
        <v>1</v>
      </c>
      <c r="D16" s="17" t="s">
        <v>127</v>
      </c>
      <c r="E16" s="23">
        <v>245.28</v>
      </c>
    </row>
    <row r="17" spans="1:5" ht="15.75" thickBot="1">
      <c r="A17" s="17" t="s">
        <v>128</v>
      </c>
      <c r="B17" s="15" t="s">
        <v>129</v>
      </c>
      <c r="C17" s="16">
        <v>1</v>
      </c>
      <c r="D17" s="17" t="s">
        <v>130</v>
      </c>
      <c r="E17" s="23">
        <v>700</v>
      </c>
    </row>
    <row r="18" spans="1:5" ht="15.75" thickBot="1">
      <c r="A18" s="17" t="s">
        <v>131</v>
      </c>
      <c r="B18" s="15" t="s">
        <v>132</v>
      </c>
      <c r="C18" s="16">
        <v>1</v>
      </c>
      <c r="D18" s="17" t="s">
        <v>107</v>
      </c>
      <c r="E18" s="23">
        <v>1481.9</v>
      </c>
    </row>
    <row r="19" spans="1:5" ht="15.75" thickBot="1">
      <c r="A19" s="18" t="s">
        <v>133</v>
      </c>
      <c r="B19" s="18"/>
      <c r="C19" s="18"/>
      <c r="D19" s="18"/>
      <c r="E19" s="22">
        <f>SUM(E15:E18)</f>
        <v>3052.1800000000003</v>
      </c>
    </row>
    <row r="20" spans="1:5" ht="15.75" thickBot="1">
      <c r="A20" s="20" t="s">
        <v>22</v>
      </c>
      <c r="B20" s="20"/>
      <c r="C20" s="20"/>
      <c r="D20" s="20"/>
      <c r="E20" s="25"/>
    </row>
    <row r="21" spans="1:5" ht="15.75" thickBot="1">
      <c r="A21" s="17" t="s">
        <v>134</v>
      </c>
      <c r="B21" s="15" t="s">
        <v>135</v>
      </c>
      <c r="C21" s="16">
        <v>1</v>
      </c>
      <c r="D21" s="17" t="s">
        <v>136</v>
      </c>
      <c r="E21" s="23">
        <v>700</v>
      </c>
    </row>
    <row r="22" spans="1:5" ht="15.75" thickBot="1">
      <c r="A22" s="17" t="s">
        <v>137</v>
      </c>
      <c r="B22" s="15" t="s">
        <v>138</v>
      </c>
      <c r="C22" s="16">
        <v>100</v>
      </c>
      <c r="D22" s="17" t="s">
        <v>119</v>
      </c>
      <c r="E22" s="23">
        <v>64</v>
      </c>
    </row>
    <row r="23" spans="1:5" ht="15.75" thickBot="1">
      <c r="A23" s="18" t="s">
        <v>139</v>
      </c>
      <c r="B23" s="18"/>
      <c r="C23" s="18"/>
      <c r="D23" s="18"/>
      <c r="E23" s="22">
        <f>SUM(E21:E22)</f>
        <v>764</v>
      </c>
    </row>
    <row r="24" spans="1:5" ht="15.75" thickBot="1">
      <c r="A24" s="20" t="s">
        <v>23</v>
      </c>
      <c r="B24" s="20"/>
      <c r="C24" s="20"/>
      <c r="D24" s="20"/>
      <c r="E24" s="25"/>
    </row>
    <row r="25" spans="1:5" ht="15.75" thickBot="1">
      <c r="A25" s="15" t="s">
        <v>140</v>
      </c>
      <c r="B25" s="15" t="s">
        <v>24</v>
      </c>
      <c r="C25" s="16">
        <v>1</v>
      </c>
      <c r="D25" s="16" t="s">
        <v>130</v>
      </c>
      <c r="E25" s="23">
        <v>118</v>
      </c>
    </row>
    <row r="26" spans="1:5" ht="15.75" thickBot="1">
      <c r="A26" s="15" t="s">
        <v>141</v>
      </c>
      <c r="B26" s="15" t="s">
        <v>25</v>
      </c>
      <c r="C26" s="16">
        <v>1</v>
      </c>
      <c r="D26" s="16" t="s">
        <v>113</v>
      </c>
      <c r="E26" s="23">
        <v>100</v>
      </c>
    </row>
    <row r="27" spans="1:5" ht="15.75" thickBot="1">
      <c r="A27" s="18" t="s">
        <v>142</v>
      </c>
      <c r="B27" s="18"/>
      <c r="C27" s="18"/>
      <c r="D27" s="18"/>
      <c r="E27" s="22">
        <f>SUM(E25:E26)</f>
        <v>218</v>
      </c>
    </row>
    <row r="28" spans="1:5" ht="15.75" thickBot="1">
      <c r="A28" s="20" t="s">
        <v>26</v>
      </c>
      <c r="B28" s="20"/>
      <c r="C28" s="20"/>
      <c r="D28" s="20"/>
      <c r="E28" s="25"/>
    </row>
    <row r="29" spans="1:5" ht="15.75" thickBot="1">
      <c r="A29" s="15" t="s">
        <v>143</v>
      </c>
      <c r="B29" s="15" t="s">
        <v>144</v>
      </c>
      <c r="C29" s="16">
        <v>1000</v>
      </c>
      <c r="D29" s="16" t="s">
        <v>145</v>
      </c>
      <c r="E29" s="23">
        <v>39.79</v>
      </c>
    </row>
    <row r="30" spans="1:5" ht="15.75" thickBot="1">
      <c r="A30" s="15" t="s">
        <v>146</v>
      </c>
      <c r="B30" s="15" t="s">
        <v>147</v>
      </c>
      <c r="C30" s="16">
        <v>10</v>
      </c>
      <c r="D30" s="16" t="s">
        <v>148</v>
      </c>
      <c r="E30" s="23">
        <v>102.2</v>
      </c>
    </row>
    <row r="31" spans="1:5" ht="15.75" thickBot="1">
      <c r="A31" s="18" t="s">
        <v>149</v>
      </c>
      <c r="B31" s="18"/>
      <c r="C31" s="18"/>
      <c r="D31" s="18"/>
      <c r="E31" s="22">
        <f>SUM(E29:E30)</f>
        <v>141.99</v>
      </c>
    </row>
    <row r="32" spans="1:5" ht="15.75" thickBot="1">
      <c r="A32" s="62" t="s">
        <v>150</v>
      </c>
      <c r="B32" s="62"/>
      <c r="C32" s="62"/>
      <c r="D32" s="62"/>
      <c r="E32" s="26">
        <f>E31+E27+E23+E19+E13+E8</f>
        <v>6487.5199999999995</v>
      </c>
    </row>
    <row r="33" spans="1:5" ht="15.75" thickBot="1">
      <c r="A33" s="62" t="s">
        <v>18</v>
      </c>
      <c r="B33" s="62"/>
      <c r="C33" s="62"/>
      <c r="D33" s="62"/>
      <c r="E33" s="26">
        <f>E32*12</f>
        <v>77850.239999999991</v>
      </c>
    </row>
  </sheetData>
  <mergeCells count="3">
    <mergeCell ref="A32:D32"/>
    <mergeCell ref="A33:D33"/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0596B-B02F-446B-91EF-08CF1E502F75}">
  <dimension ref="A1:B11"/>
  <sheetViews>
    <sheetView workbookViewId="0">
      <selection activeCell="B23" sqref="B23"/>
    </sheetView>
  </sheetViews>
  <sheetFormatPr defaultColWidth="8.85546875" defaultRowHeight="15"/>
  <cols>
    <col min="1" max="1" width="51.140625" bestFit="1" customWidth="1"/>
    <col min="2" max="2" width="13.140625" bestFit="1" customWidth="1"/>
  </cols>
  <sheetData>
    <row r="1" spans="1:2">
      <c r="A1" s="60" t="s">
        <v>83</v>
      </c>
      <c r="B1" s="61"/>
    </row>
    <row r="2" spans="1:2" ht="15.75">
      <c r="A2" s="1" t="s">
        <v>84</v>
      </c>
      <c r="B2" s="1" t="s">
        <v>85</v>
      </c>
    </row>
    <row r="3" spans="1:2">
      <c r="A3" t="s">
        <v>86</v>
      </c>
      <c r="B3" s="8">
        <v>95000</v>
      </c>
    </row>
    <row r="4" spans="1:2">
      <c r="A4" t="s">
        <v>87</v>
      </c>
      <c r="B4" s="8">
        <v>85000</v>
      </c>
    </row>
    <row r="5" spans="1:2">
      <c r="A5" t="s">
        <v>88</v>
      </c>
      <c r="B5" s="8">
        <v>100000</v>
      </c>
    </row>
    <row r="6" spans="1:2">
      <c r="A6" t="s">
        <v>89</v>
      </c>
      <c r="B6" s="8">
        <v>95000</v>
      </c>
    </row>
    <row r="7" spans="1:2">
      <c r="A7" t="s">
        <v>90</v>
      </c>
      <c r="B7" s="8">
        <v>40000</v>
      </c>
    </row>
    <row r="8" spans="1:2">
      <c r="A8" t="s">
        <v>91</v>
      </c>
      <c r="B8" s="8">
        <v>35000</v>
      </c>
    </row>
    <row r="9" spans="1:2">
      <c r="A9" t="s">
        <v>92</v>
      </c>
      <c r="B9" s="8">
        <v>25000</v>
      </c>
    </row>
    <row r="10" spans="1:2" ht="15.75" thickBot="1">
      <c r="A10" s="9" t="s">
        <v>93</v>
      </c>
      <c r="B10" s="7">
        <f>SUM(B3:B9)</f>
        <v>475000</v>
      </c>
    </row>
    <row r="11" spans="1:2" ht="15.75" thickTop="1"/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workbookViewId="0">
      <selection activeCell="D15" sqref="D15"/>
    </sheetView>
  </sheetViews>
  <sheetFormatPr defaultColWidth="8.85546875" defaultRowHeight="15"/>
  <cols>
    <col min="1" max="1" width="40" style="36" customWidth="1"/>
    <col min="2" max="2" width="21.42578125" style="36" bestFit="1" customWidth="1"/>
    <col min="3" max="3" width="31.7109375" style="36" customWidth="1"/>
    <col min="4" max="4" width="36.140625" style="36" customWidth="1"/>
    <col min="5" max="5" width="21.42578125" style="36" bestFit="1" customWidth="1"/>
    <col min="6" max="6" width="16" style="36" bestFit="1" customWidth="1"/>
    <col min="7" max="7" width="14.140625" style="36" bestFit="1" customWidth="1"/>
    <col min="8" max="11" width="16" style="36" bestFit="1" customWidth="1"/>
    <col min="12" max="12" width="9.140625" style="36" customWidth="1"/>
    <col min="13" max="16384" width="8.85546875" style="36"/>
  </cols>
  <sheetData>
    <row r="1" spans="1:13" ht="15.75">
      <c r="A1" s="64" t="s">
        <v>0</v>
      </c>
      <c r="B1" s="65"/>
      <c r="C1" s="65"/>
    </row>
    <row r="3" spans="1:13" ht="15.75">
      <c r="A3" s="66" t="s">
        <v>72</v>
      </c>
      <c r="B3" s="65"/>
      <c r="C3" s="65"/>
      <c r="E3" s="63" t="s">
        <v>94</v>
      </c>
      <c r="F3" s="63"/>
      <c r="G3" s="63"/>
      <c r="H3" s="63"/>
      <c r="I3" s="63"/>
      <c r="J3" s="63"/>
      <c r="K3" s="63"/>
      <c r="L3" s="63"/>
    </row>
    <row r="4" spans="1:13" ht="47.25">
      <c r="A4" s="67" t="s">
        <v>27</v>
      </c>
      <c r="B4" s="67" t="s">
        <v>28</v>
      </c>
      <c r="C4" s="67" t="s">
        <v>29</v>
      </c>
      <c r="E4" s="38" t="s">
        <v>76</v>
      </c>
      <c r="F4" s="38" t="s">
        <v>30</v>
      </c>
      <c r="G4" s="38" t="s">
        <v>95</v>
      </c>
      <c r="H4" s="38" t="s">
        <v>96</v>
      </c>
      <c r="I4" s="38" t="s">
        <v>168</v>
      </c>
      <c r="J4" s="38" t="s">
        <v>77</v>
      </c>
      <c r="K4" s="38" t="s">
        <v>78</v>
      </c>
      <c r="L4" s="38" t="s">
        <v>79</v>
      </c>
    </row>
    <row r="5" spans="1:13">
      <c r="A5" s="39" t="s">
        <v>30</v>
      </c>
      <c r="B5" s="40">
        <f>PS!D15</f>
        <v>1214580</v>
      </c>
      <c r="C5" s="39" t="s">
        <v>74</v>
      </c>
      <c r="E5" s="36" t="s">
        <v>80</v>
      </c>
      <c r="F5" s="41">
        <f>B5</f>
        <v>1214580</v>
      </c>
      <c r="G5" s="41">
        <f>B6</f>
        <v>77850.239999999991</v>
      </c>
      <c r="H5" s="41">
        <v>475000</v>
      </c>
      <c r="I5" s="41">
        <f>F5+G5+H5</f>
        <v>1767430.24</v>
      </c>
      <c r="J5" s="41">
        <f>B22</f>
        <v>2565000</v>
      </c>
      <c r="K5" s="41">
        <f>J5-I5</f>
        <v>797569.76</v>
      </c>
      <c r="L5" s="42">
        <f>(K5/I5)*100</f>
        <v>45.125954164957591</v>
      </c>
      <c r="M5" s="43"/>
    </row>
    <row r="6" spans="1:13">
      <c r="A6" s="39" t="s">
        <v>31</v>
      </c>
      <c r="B6" s="40">
        <f>'Azure BoQ'!E33</f>
        <v>77850.239999999991</v>
      </c>
      <c r="C6" s="39" t="s">
        <v>32</v>
      </c>
      <c r="E6" s="36" t="s">
        <v>81</v>
      </c>
      <c r="F6" s="41">
        <v>0</v>
      </c>
      <c r="G6" s="41">
        <f>B6</f>
        <v>77850.239999999991</v>
      </c>
      <c r="H6" s="41">
        <f>H5+(H5*5%)</f>
        <v>498750</v>
      </c>
      <c r="I6" s="41">
        <f t="shared" ref="I6:I7" si="0">F6+G6+H6</f>
        <v>576600.24</v>
      </c>
      <c r="J6" s="41">
        <f>J5*105%</f>
        <v>2693250</v>
      </c>
      <c r="K6" s="41">
        <f t="shared" ref="K6:K8" si="1">J6-I6</f>
        <v>2116649.7599999998</v>
      </c>
      <c r="L6" s="42">
        <f>(K6/I6)*100</f>
        <v>367.09137686102935</v>
      </c>
    </row>
    <row r="7" spans="1:13">
      <c r="A7" s="39" t="s">
        <v>33</v>
      </c>
      <c r="B7" s="40">
        <f>Operations!B10</f>
        <v>475000</v>
      </c>
      <c r="C7" s="39" t="s">
        <v>34</v>
      </c>
      <c r="E7" s="36" t="s">
        <v>82</v>
      </c>
      <c r="F7" s="41">
        <v>0</v>
      </c>
      <c r="G7" s="41">
        <f>B6</f>
        <v>77850.239999999991</v>
      </c>
      <c r="H7" s="41">
        <f>H6+(H6*5%)</f>
        <v>523687.5</v>
      </c>
      <c r="I7" s="41">
        <f t="shared" si="0"/>
        <v>601537.74</v>
      </c>
      <c r="J7" s="41">
        <f>J6*105%</f>
        <v>2827912.5</v>
      </c>
      <c r="K7" s="41">
        <f t="shared" si="1"/>
        <v>2226374.7599999998</v>
      </c>
      <c r="L7" s="42">
        <f>(K7/I7)*100</f>
        <v>370.11389509825267</v>
      </c>
    </row>
    <row r="8" spans="1:13" ht="15.75">
      <c r="A8" s="44" t="s">
        <v>35</v>
      </c>
      <c r="B8" s="45">
        <f>SUM(B5:B7)</f>
        <v>1767430.24</v>
      </c>
      <c r="C8" s="46"/>
      <c r="E8" s="47" t="s">
        <v>97</v>
      </c>
      <c r="F8" s="48">
        <f>SUM(F5:F7)</f>
        <v>1214580</v>
      </c>
      <c r="G8" s="48">
        <f t="shared" ref="G8:J8" si="2">SUM(G5:G7)</f>
        <v>233550.71999999997</v>
      </c>
      <c r="H8" s="48">
        <f t="shared" si="2"/>
        <v>1497437.5</v>
      </c>
      <c r="I8" s="48">
        <f t="shared" si="2"/>
        <v>2945568.2199999997</v>
      </c>
      <c r="J8" s="48">
        <f t="shared" si="2"/>
        <v>8086162.5</v>
      </c>
      <c r="K8" s="48">
        <f t="shared" si="1"/>
        <v>5140594.28</v>
      </c>
      <c r="L8" s="49">
        <f>(K8/I8)*100</f>
        <v>174.51961374026504</v>
      </c>
    </row>
    <row r="10" spans="1:13" ht="15.75">
      <c r="A10" s="66" t="s">
        <v>73</v>
      </c>
      <c r="B10" s="65"/>
      <c r="C10" s="65"/>
      <c r="H10" s="50"/>
      <c r="I10" s="51"/>
      <c r="K10" s="51"/>
      <c r="L10" s="52"/>
    </row>
    <row r="11" spans="1:13" ht="15.75">
      <c r="A11" s="37" t="s">
        <v>36</v>
      </c>
      <c r="B11" s="37" t="s">
        <v>37</v>
      </c>
      <c r="C11" s="37" t="s">
        <v>38</v>
      </c>
      <c r="K11" s="51"/>
    </row>
    <row r="12" spans="1:13">
      <c r="A12" s="39" t="s">
        <v>39</v>
      </c>
      <c r="B12" s="53">
        <v>1000</v>
      </c>
      <c r="C12" s="39" t="s">
        <v>40</v>
      </c>
      <c r="K12" s="51"/>
    </row>
    <row r="13" spans="1:13">
      <c r="A13" s="39" t="s">
        <v>41</v>
      </c>
      <c r="B13" s="53">
        <v>49000</v>
      </c>
      <c r="C13" s="39" t="s">
        <v>42</v>
      </c>
    </row>
    <row r="14" spans="1:13">
      <c r="A14" s="39" t="s">
        <v>43</v>
      </c>
      <c r="B14" s="54">
        <v>0.15</v>
      </c>
      <c r="C14" s="39" t="s">
        <v>44</v>
      </c>
    </row>
    <row r="15" spans="1:13">
      <c r="A15" s="39" t="s">
        <v>45</v>
      </c>
      <c r="B15" s="53">
        <v>28500</v>
      </c>
      <c r="C15" s="39" t="s">
        <v>46</v>
      </c>
    </row>
    <row r="16" spans="1:13">
      <c r="A16" s="39" t="s">
        <v>47</v>
      </c>
      <c r="B16" s="54">
        <v>0.3</v>
      </c>
      <c r="C16" s="39" t="s">
        <v>48</v>
      </c>
    </row>
    <row r="17" spans="1:4">
      <c r="A17" s="39" t="s">
        <v>49</v>
      </c>
      <c r="B17" s="54">
        <v>0.6</v>
      </c>
      <c r="C17" s="39" t="s">
        <v>50</v>
      </c>
    </row>
    <row r="18" spans="1:4">
      <c r="A18" s="39" t="s">
        <v>51</v>
      </c>
      <c r="B18" s="54">
        <v>0.5</v>
      </c>
      <c r="C18" s="39" t="s">
        <v>52</v>
      </c>
    </row>
    <row r="19" spans="1:4" ht="15.75">
      <c r="A19" s="55" t="s">
        <v>53</v>
      </c>
      <c r="B19" s="56"/>
      <c r="C19" s="56"/>
    </row>
    <row r="20" spans="1:4">
      <c r="A20" s="39" t="s">
        <v>54</v>
      </c>
      <c r="B20" s="40">
        <f>B12*B15*B16*B17</f>
        <v>5130000</v>
      </c>
      <c r="C20" s="39" t="s">
        <v>55</v>
      </c>
    </row>
    <row r="21" spans="1:4">
      <c r="A21" s="39" t="s">
        <v>56</v>
      </c>
      <c r="B21" s="40">
        <f>B20*B18</f>
        <v>2565000</v>
      </c>
      <c r="C21" s="39" t="s">
        <v>57</v>
      </c>
    </row>
    <row r="22" spans="1:4" ht="15.75">
      <c r="A22" s="44" t="s">
        <v>58</v>
      </c>
      <c r="B22" s="45">
        <f>B21</f>
        <v>2565000</v>
      </c>
      <c r="C22" s="46"/>
    </row>
    <row r="24" spans="1:4" ht="15.75">
      <c r="A24" s="66" t="s">
        <v>75</v>
      </c>
      <c r="B24" s="65"/>
      <c r="C24" s="65"/>
      <c r="D24" s="65"/>
    </row>
    <row r="25" spans="1:4" ht="15.75">
      <c r="A25" s="57" t="s">
        <v>59</v>
      </c>
      <c r="B25" s="57" t="s">
        <v>60</v>
      </c>
      <c r="C25" s="57" t="s">
        <v>37</v>
      </c>
      <c r="D25" s="57" t="s">
        <v>61</v>
      </c>
    </row>
    <row r="26" spans="1:4">
      <c r="A26" s="39" t="s">
        <v>62</v>
      </c>
      <c r="B26" s="39" t="s">
        <v>63</v>
      </c>
      <c r="C26" s="40">
        <f>B22-B8</f>
        <v>797569.76</v>
      </c>
      <c r="D26" s="58" t="s">
        <v>64</v>
      </c>
    </row>
    <row r="27" spans="1:4">
      <c r="A27" s="39" t="s">
        <v>65</v>
      </c>
      <c r="B27" s="39" t="s">
        <v>66</v>
      </c>
      <c r="C27" s="42">
        <f>C26/B8*100</f>
        <v>45.125954164957591</v>
      </c>
      <c r="D27" s="58" t="s">
        <v>67</v>
      </c>
    </row>
    <row r="28" spans="1:4">
      <c r="A28" s="39" t="s">
        <v>68</v>
      </c>
      <c r="B28" s="39" t="s">
        <v>69</v>
      </c>
      <c r="C28" s="59">
        <f>B8/B22*12</f>
        <v>8.2686794853801171</v>
      </c>
      <c r="D28" s="58" t="s">
        <v>70</v>
      </c>
    </row>
  </sheetData>
  <mergeCells count="5">
    <mergeCell ref="E3:L3"/>
    <mergeCell ref="A1:C1"/>
    <mergeCell ref="A3:C3"/>
    <mergeCell ref="A10:C10"/>
    <mergeCell ref="A24:D24"/>
  </mergeCells>
  <conditionalFormatting sqref="L5:L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Resource Time</vt:lpstr>
      <vt:lpstr>PS</vt:lpstr>
      <vt:lpstr>Azure BoQ</vt:lpstr>
      <vt:lpstr>Operations</vt:lpstr>
      <vt:lpstr>ROI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Khaliq ur Rehman</cp:lastModifiedBy>
  <dcterms:created xsi:type="dcterms:W3CDTF">2025-12-11T06:31:06Z</dcterms:created>
  <dcterms:modified xsi:type="dcterms:W3CDTF">2025-12-11T16:21:42Z</dcterms:modified>
</cp:coreProperties>
</file>